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data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<sst xmlns="http://schemas.openxmlformats.org/spreadsheetml/2006/main" count="33" uniqueCount="22">
  <si>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student_id</t>
  </si>
  <si>
    <t>name</t>
  </si>
  <si>
    <t>department</t>
  </si>
  <si>
    <t>math</t>
  </si>
  <si>
    <t>science</t>
  </si>
  <si>
    <t>programming</t>
  </si>
  <si>
    <t>attendance</t>
  </si>
  <si>
    <t>Average Marks</t>
  </si>
  <si>
    <t>Pooja</t>
  </si>
  <si>
    <t>IT</t>
  </si>
  <si>
    <t>Sneha</t>
  </si>
  <si>
    <t>CS</t>
  </si>
  <si>
    <t>Ananya</t>
  </si>
  <si>
    <t>Neha</t>
  </si>
  <si>
    <t>Amit</t>
  </si>
  <si>
    <t>Riya</t>
  </si>
  <si>
    <t>Arjun</t>
  </si>
  <si>
    <t>Karan</t>
  </si>
  <si>
    <t>Varun</t>
  </si>
  <si>
    <t>Rahul</t>
  </si>
  <si>
    <t>Average Marks (avg)</t>
  </si>
  <si>
    <t>Overall Class 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</si>
</sst>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[student_excel.xlsx]Pivot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per Dept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Table'!$A$4:$A$6</c:f>
              <c:strCache>
                <c:ptCount val="2"/>
                <c:pt idx="0">
                  <c:v>CS</c:v>
                </c:pt>
                <c:pt idx="1">
                  <c:v>IT</c:v>
                </c:pt>
              </c:strCache>
            </c:strRef>
          </c:cat>
          <c:val>
            <c:numRef>
              <c:f>'Pivot Table'!$B$4:$B$6</c:f>
              <c:numCache>
                <c:formatCode>0.00</c:formatCode>
                <c:ptCount val="2"/>
                <c:pt idx="0">
                  <c:v>81.4444444444444</c:v>
                </c:pt>
                <c:pt idx="1">
                  <c:v>74.4166666666667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0647918"/>
        <c:axId val="337772494"/>
      </c:barChart>
      <c:catAx>
        <c:axId val="1206479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772494"/>
        <c:crosses val="autoZero"/>
        <c:auto val="1"/>
        <c:lblAlgn val="ctr"/>
        <c:lblOffset val="100"/>
        <c:noMultiLvlLbl val="0"/>
      </c:catAx>
      <c:valAx>
        <c:axId val="3377724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6479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75622a-77e0-4d94-b01f-7849932c1f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241300</xdr:colOff>
      <xdr:row>1</xdr:row>
      <xdr:rowOff>177800</xdr:rowOff>
    </xdr:from>
    <xdr:to>
      <xdr:col>6</xdr:col>
      <xdr:colOff>90170</xdr:colOff>
      <xdr:row>16</xdr:row>
      <xdr:rowOff>177800</xdr:rowOff>
    </xdr:to>
    <xdr:graphicFrame>
      <xdr:nvGraphicFramePr>
        <xdr:cNvPr id="2" name="Chart 1"/>
        <xdr:cNvGraphicFramePr/>
      </xdr:nvGraphicFramePr>
      <xdr:xfrm>
        <a:off x="2749550" y="361950"/>
        <a:ext cx="228727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1.717337963" refreshedBy="KIIT0001" recordCount="10">
  <cacheSource type="worksheet">
    <worksheetSource ref="A1:H11" sheet="data"/>
  </cacheSource>
  <cacheFields count="8">
    <cacheField name="student_id" numFmtId="0">
      <sharedItems containsSemiMixedTypes="0" containsString="0" containsNumber="1" containsInteger="1" minValue="0" maxValue="10" count="10">
        <n v="4"/>
        <n v="8"/>
        <n v="10"/>
        <n v="6"/>
        <n v="1"/>
        <n v="2"/>
        <n v="7"/>
        <n v="3"/>
        <n v="9"/>
        <n v="5"/>
      </sharedItems>
    </cacheField>
    <cacheField name="name" numFmtId="0">
      <sharedItems count="10">
        <s v="Pooja"/>
        <s v="Sneha"/>
        <s v="Ananya"/>
        <s v="Neha"/>
        <s v="Amit"/>
        <s v="Riya"/>
        <s v="Arjun"/>
        <s v="Karan"/>
        <s v="Varun"/>
        <s v="Rahul"/>
      </sharedItems>
    </cacheField>
    <cacheField name="department" numFmtId="0">
      <sharedItems count="2">
        <s v="IT"/>
        <s v="CS"/>
      </sharedItems>
    </cacheField>
    <cacheField name="math" numFmtId="0">
      <sharedItems containsSemiMixedTypes="0" containsString="0" containsNumber="1" containsInteger="1" minValue="0" maxValue="92" count="10">
        <n v="92"/>
        <n v="91"/>
        <n v="85"/>
        <n v="82"/>
        <n v="78"/>
        <n v="88"/>
        <n v="74"/>
        <n v="65"/>
        <n v="60"/>
        <n v="55"/>
      </sharedItems>
    </cacheField>
    <cacheField name="science" numFmtId="0">
      <sharedItems containsSemiMixedTypes="0" containsString="0" containsNumber="1" containsInteger="1" minValue="0" maxValue="91" count="10">
        <n v="91"/>
        <n v="90"/>
        <n v="87"/>
        <n v="88"/>
        <n v="85"/>
        <n v="79"/>
        <n v="69"/>
        <n v="70"/>
        <n v="62"/>
        <n v="60"/>
      </sharedItems>
    </cacheField>
    <cacheField name="programming" numFmtId="0">
      <sharedItems containsSemiMixedTypes="0" containsString="0" containsNumber="1" containsInteger="1" minValue="0" maxValue="95" count="10">
        <n v="95"/>
        <n v="92"/>
        <n v="89"/>
        <n v="84"/>
        <n v="90"/>
        <n v="85"/>
        <n v="78"/>
        <n v="72"/>
        <n v="65"/>
        <n v="58"/>
      </sharedItems>
    </cacheField>
    <cacheField name="attendance" numFmtId="0">
      <sharedItems containsSemiMixedTypes="0" containsString="0" containsNumber="1" containsInteger="1" minValue="0" maxValue="96" count="10">
        <n v="96"/>
        <n v="95"/>
        <n v="94"/>
        <n v="93"/>
        <n v="92"/>
        <n v="90"/>
        <n v="85"/>
        <n v="80"/>
        <n v="75"/>
        <n v="70"/>
      </sharedItems>
    </cacheField>
    <cacheField name="Average Marks" numFmtId="0">
      <sharedItems containsSemiMixedTypes="0" containsString="0" containsNumber="1" minValue="0" maxValue="92.6666666666667" count="10">
        <n v="92.6666666666667"/>
        <n v="91"/>
        <n v="87"/>
        <n v="84.6666666666667"/>
        <n v="84.3333333333333"/>
        <n v="84"/>
        <n v="73.6666666666667"/>
        <n v="69"/>
        <n v="62.3333333333333"/>
        <n v="57.666666666666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</r>
  <r>
    <x v="1"/>
    <x v="1"/>
    <x v="1"/>
    <x v="1"/>
    <x v="1"/>
    <x v="1"/>
    <x v="1"/>
    <x v="1"/>
  </r>
  <r>
    <x v="2"/>
    <x v="2"/>
    <x v="1"/>
    <x v="2"/>
    <x v="2"/>
    <x v="2"/>
    <x v="2"/>
    <x v="2"/>
  </r>
  <r>
    <x v="3"/>
    <x v="3"/>
    <x v="1"/>
    <x v="3"/>
    <x v="3"/>
    <x v="3"/>
    <x v="3"/>
    <x v="3"/>
  </r>
  <r>
    <x v="4"/>
    <x v="4"/>
    <x v="1"/>
    <x v="4"/>
    <x v="4"/>
    <x v="4"/>
    <x v="4"/>
    <x v="4"/>
  </r>
  <r>
    <x v="5"/>
    <x v="5"/>
    <x v="1"/>
    <x v="5"/>
    <x v="5"/>
    <x v="5"/>
    <x v="5"/>
    <x v="5"/>
  </r>
  <r>
    <x v="6"/>
    <x v="6"/>
    <x v="0"/>
    <x v="6"/>
    <x v="6"/>
    <x v="6"/>
    <x v="6"/>
    <x v="6"/>
  </r>
  <r>
    <x v="7"/>
    <x v="7"/>
    <x v="0"/>
    <x v="7"/>
    <x v="7"/>
    <x v="7"/>
    <x v="7"/>
    <x v="7"/>
  </r>
  <r>
    <x v="8"/>
    <x v="8"/>
    <x v="0"/>
    <x v="8"/>
    <x v="8"/>
    <x v="8"/>
    <x v="8"/>
    <x v="8"/>
  </r>
  <r>
    <x v="9"/>
    <x v="9"/>
    <x v="1"/>
    <x v="9"/>
    <x v="9"/>
    <x v="9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grandTotalCaption="Overall Class Avg" chartFormat="2">
  <location ref="A3:B6" firstHeaderRow="1" firstDataRow="1" firstDataCol="1"/>
  <pivotFields count="8">
    <pivotField compact="0" showAll="0">
      <items count="11">
        <item x="4"/>
        <item x="5"/>
        <item x="7"/>
        <item x="0"/>
        <item x="9"/>
        <item x="3"/>
        <item x="6"/>
        <item x="1"/>
        <item x="8"/>
        <item x="2"/>
        <item t="default"/>
      </items>
    </pivotField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Marks (avg)" fld="7" subtotal="average" baseField="0" baseItem="0" numFmtId="2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C14" sqref="C14"/>
    </sheetView>
  </sheetViews>
  <sheetFormatPr defaultColWidth="9" defaultRowHeight="14.5" outlineLevelCol="7"/>
  <cols>
    <col min="1" max="1" width="14.8181818181818" customWidth="1"/>
    <col min="3" max="3" width="12.9090909090909" customWidth="1"/>
    <col min="6" max="6" width="12.7272727272727" customWidth="1"/>
    <col min="7" max="7" width="11.0909090909091" customWidth="1"/>
    <col min="8" max="8" width="13.636363636363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>
      <c r="A2">
        <v>4</v>
      </c>
      <c r="B2" t="s">
        <v>8</v>
      </c>
      <c r="C2" t="s">
        <v>9</v>
      </c>
      <c r="D2">
        <v>92</v>
      </c>
      <c r="E2">
        <v>91</v>
      </c>
      <c r="F2">
        <v>95</v>
      </c>
      <c r="G2">
        <v>96</v>
      </c>
      <c r="H2" s="1">
        <f t="shared" ref="H2:H11" si="0">(D2+E2+F2)/3</f>
        <v>92.6666666666667</v>
      </c>
    </row>
    <row r="3" spans="1:8">
      <c r="A3">
        <v>8</v>
      </c>
      <c r="B3" t="s">
        <v>10</v>
      </c>
      <c r="C3" t="s">
        <v>11</v>
      </c>
      <c r="D3">
        <v>91</v>
      </c>
      <c r="E3">
        <v>90</v>
      </c>
      <c r="F3">
        <v>92</v>
      </c>
      <c r="G3">
        <v>95</v>
      </c>
      <c r="H3" s="1">
        <f t="shared" si="0"/>
        <v>91</v>
      </c>
    </row>
    <row r="4" spans="1:8">
      <c r="A4">
        <v>10</v>
      </c>
      <c r="B4" t="s">
        <v>12</v>
      </c>
      <c r="C4" t="s">
        <v>11</v>
      </c>
      <c r="D4">
        <v>85</v>
      </c>
      <c r="E4">
        <v>87</v>
      </c>
      <c r="F4">
        <v>89</v>
      </c>
      <c r="G4">
        <v>94</v>
      </c>
      <c r="H4" s="1">
        <f t="shared" si="0"/>
        <v>87</v>
      </c>
    </row>
    <row r="5" spans="1:8">
      <c r="A5">
        <v>6</v>
      </c>
      <c r="B5" t="s">
        <v>13</v>
      </c>
      <c r="C5" t="s">
        <v>11</v>
      </c>
      <c r="D5">
        <v>82</v>
      </c>
      <c r="E5">
        <v>88</v>
      </c>
      <c r="F5">
        <v>84</v>
      </c>
      <c r="G5">
        <v>93</v>
      </c>
      <c r="H5" s="1">
        <f t="shared" si="0"/>
        <v>84.6666666666667</v>
      </c>
    </row>
    <row r="6" spans="1:8">
      <c r="A6">
        <v>1</v>
      </c>
      <c r="B6" t="s">
        <v>14</v>
      </c>
      <c r="C6" t="s">
        <v>11</v>
      </c>
      <c r="D6">
        <v>78</v>
      </c>
      <c r="E6">
        <v>85</v>
      </c>
      <c r="F6">
        <v>90</v>
      </c>
      <c r="G6">
        <v>92</v>
      </c>
      <c r="H6" s="1">
        <f t="shared" si="0"/>
        <v>84.3333333333333</v>
      </c>
    </row>
    <row r="7" spans="1:8">
      <c r="A7">
        <v>2</v>
      </c>
      <c r="B7" t="s">
        <v>15</v>
      </c>
      <c r="C7" t="s">
        <v>11</v>
      </c>
      <c r="D7">
        <v>88</v>
      </c>
      <c r="E7">
        <v>79</v>
      </c>
      <c r="F7">
        <v>85</v>
      </c>
      <c r="G7">
        <v>90</v>
      </c>
      <c r="H7" s="1">
        <f t="shared" si="0"/>
        <v>84</v>
      </c>
    </row>
    <row r="8" spans="1:8">
      <c r="A8">
        <v>7</v>
      </c>
      <c r="B8" t="s">
        <v>16</v>
      </c>
      <c r="C8" t="s">
        <v>9</v>
      </c>
      <c r="D8">
        <v>74</v>
      </c>
      <c r="E8">
        <v>69</v>
      </c>
      <c r="F8">
        <v>78</v>
      </c>
      <c r="G8">
        <v>85</v>
      </c>
      <c r="H8" s="1">
        <f t="shared" si="0"/>
        <v>73.6666666666667</v>
      </c>
    </row>
    <row r="9" spans="1:8">
      <c r="A9">
        <v>3</v>
      </c>
      <c r="B9" t="s">
        <v>17</v>
      </c>
      <c r="C9" t="s">
        <v>9</v>
      </c>
      <c r="D9">
        <v>65</v>
      </c>
      <c r="E9">
        <v>70</v>
      </c>
      <c r="F9">
        <v>72</v>
      </c>
      <c r="G9">
        <v>80</v>
      </c>
      <c r="H9" s="1">
        <f t="shared" si="0"/>
        <v>69</v>
      </c>
    </row>
    <row r="10" spans="1:8">
      <c r="A10">
        <v>9</v>
      </c>
      <c r="B10" t="s">
        <v>18</v>
      </c>
      <c r="C10" t="s">
        <v>9</v>
      </c>
      <c r="D10">
        <v>60</v>
      </c>
      <c r="E10">
        <v>62</v>
      </c>
      <c r="F10">
        <v>65</v>
      </c>
      <c r="G10">
        <v>75</v>
      </c>
      <c r="H10" s="1">
        <f t="shared" si="0"/>
        <v>62.3333333333333</v>
      </c>
    </row>
    <row r="11" spans="1:8">
      <c r="A11">
        <v>5</v>
      </c>
      <c r="B11" t="s">
        <v>19</v>
      </c>
      <c r="C11" t="s">
        <v>11</v>
      </c>
      <c r="D11">
        <v>55</v>
      </c>
      <c r="E11">
        <v>60</v>
      </c>
      <c r="F11">
        <v>58</v>
      </c>
      <c r="G11">
        <v>70</v>
      </c>
      <c r="H11" s="1">
        <f t="shared" si="0"/>
        <v>57.6666666666667</v>
      </c>
    </row>
  </sheetData>
  <sortState ref="A2:H11">
    <sortCondition ref="H2:H11" descending="1"/>
  </sortState>
  <conditionalFormatting sqref="D1:F11">
    <cfRule type="cellIs" dxfId="0" priority="1" operator="lessThan">
      <formula>60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H8" sqref="H8"/>
    </sheetView>
  </sheetViews>
  <sheetFormatPr defaultColWidth="8.72727272727273" defaultRowHeight="14.5" outlineLevelRow="5" outlineLevelCol="1"/>
  <cols>
    <col min="1" max="1" width="16.2727272727273"/>
    <col min="2" max="2" width="19.6363636363636"/>
  </cols>
  <sheetData>
    <row r="3" spans="1:2">
      <c r="A3" t="s">
        <v>2</v>
      </c>
      <c r="B3" t="s">
        <v>20</v>
      </c>
    </row>
    <row r="4" spans="1:2">
      <c r="A4" t="s">
        <v>11</v>
      </c>
      <c r="B4" s="1">
        <v>81.4444444444444</v>
      </c>
    </row>
    <row r="5" spans="1:2">
      <c r="A5" t="s">
        <v>9</v>
      </c>
      <c r="B5" s="1">
        <v>74.4166666666667</v>
      </c>
    </row>
    <row r="6" spans="1:2">
      <c r="A6" t="s">
        <v>21</v>
      </c>
      <c r="B6" s="1">
        <v>78.6333333333333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2873_ARUNDHATI CHAUDHURI</cp:lastModifiedBy>
  <dcterms:created xsi:type="dcterms:W3CDTF">2026-04-19T11:20:00Z</dcterms:created>
  <dcterms:modified xsi:type="dcterms:W3CDTF">2026-04-19T14:19:16Z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D87F6EA6E0184C06ACB760A96B1B93FE_12</vt:lpwstr>
  </property>
  <property fmtid="{D5CDD505-2E9C-101B-9397-08002B2CF9AE}" pid="3" name="KSOProductBuildVer">
    <vt:lpwstr>1033-12.2.0.23196</vt:lpwstr>
  </property>
</Properties>
</file>